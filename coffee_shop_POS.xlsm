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ia\Desktop\ACTUALIZANDO VBA EXCEL\Project\"/>
    </mc:Choice>
  </mc:AlternateContent>
  <xr:revisionPtr revIDLastSave="0" documentId="13_ncr:1_{29335880-565A-4B5F-81D3-F6D9E038CE5D}" xr6:coauthVersionLast="47" xr6:coauthVersionMax="47" xr10:uidLastSave="{00000000-0000-0000-0000-000000000000}"/>
  <bookViews>
    <workbookView xWindow="-120" yWindow="-120" windowWidth="20730" windowHeight="11160" activeTab="1" xr2:uid="{D45D2A7E-7538-4EEC-98EB-F8BAB4C9EA15}"/>
  </bookViews>
  <sheets>
    <sheet name="Product" sheetId="1" r:id="rId1"/>
    <sheet name="Sales" sheetId="2" r:id="rId2"/>
    <sheet name="Ticket" sheetId="3" r:id="rId3"/>
  </sheets>
  <definedNames>
    <definedName name="_xlnm.Print_Area" localSheetId="2">Ticket!$F$3:$H$14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2" i="2" l="1"/>
  <c r="D22" i="2"/>
  <c r="C21" i="2"/>
  <c r="D21" i="2"/>
  <c r="C20" i="2"/>
  <c r="D20" i="2"/>
  <c r="C19" i="2"/>
  <c r="D19" i="2"/>
  <c r="C18" i="2"/>
  <c r="D18" i="2"/>
  <c r="C17" i="2"/>
  <c r="D17" i="2"/>
  <c r="C16" i="2"/>
  <c r="D16" i="2"/>
  <c r="C15" i="2"/>
  <c r="D15" i="2"/>
  <c r="C14" i="2"/>
  <c r="D14" i="2"/>
  <c r="C13" i="2"/>
  <c r="D13" i="2"/>
  <c r="C12" i="2"/>
  <c r="D12" i="2"/>
  <c r="C11" i="2"/>
  <c r="D11" i="2"/>
  <c r="C10" i="2"/>
  <c r="D10" i="2"/>
  <c r="C9" i="2"/>
  <c r="D9" i="2"/>
  <c r="C8" i="2"/>
  <c r="D8" i="2"/>
  <c r="C7" i="2"/>
  <c r="D7" i="2"/>
  <c r="C6" i="2"/>
  <c r="D6" i="2"/>
  <c r="C4" i="2"/>
  <c r="C5" i="2"/>
  <c r="C3" i="2"/>
  <c r="D3" i="2"/>
  <c r="D5" i="2"/>
  <c r="D4" i="2"/>
</calcChain>
</file>

<file path=xl/sharedStrings.xml><?xml version="1.0" encoding="utf-8"?>
<sst xmlns="http://schemas.openxmlformats.org/spreadsheetml/2006/main" count="86" uniqueCount="68">
  <si>
    <t>ID</t>
  </si>
  <si>
    <t>Category</t>
  </si>
  <si>
    <t>Product</t>
  </si>
  <si>
    <t>C01</t>
  </si>
  <si>
    <t>Coffee</t>
  </si>
  <si>
    <t>Espresso</t>
  </si>
  <si>
    <t>C02</t>
  </si>
  <si>
    <t>Americano</t>
  </si>
  <si>
    <t>C03</t>
  </si>
  <si>
    <t>Cappuccino</t>
  </si>
  <si>
    <t>C04</t>
  </si>
  <si>
    <t>Latte</t>
  </si>
  <si>
    <t>C05</t>
  </si>
  <si>
    <t>Caramel Macchiato</t>
  </si>
  <si>
    <t>T01</t>
  </si>
  <si>
    <t>Tea</t>
  </si>
  <si>
    <t>T02</t>
  </si>
  <si>
    <t>Earl Grey</t>
  </si>
  <si>
    <t>T03</t>
  </si>
  <si>
    <t>Green Tea</t>
  </si>
  <si>
    <t>T04</t>
  </si>
  <si>
    <t>Chai Latte</t>
  </si>
  <si>
    <t>T05</t>
  </si>
  <si>
    <t>B01</t>
  </si>
  <si>
    <t>Bakery</t>
  </si>
  <si>
    <t>B02</t>
  </si>
  <si>
    <t>Chocolate Muffin</t>
  </si>
  <si>
    <t>B03</t>
  </si>
  <si>
    <t>Ham &amp; Cheese Toast</t>
  </si>
  <si>
    <t>B04</t>
  </si>
  <si>
    <t>Vanilla Scone</t>
  </si>
  <si>
    <t>B05</t>
  </si>
  <si>
    <t>Brownie</t>
  </si>
  <si>
    <t xml:space="preserve">Image </t>
  </si>
  <si>
    <t>blk_americano</t>
  </si>
  <si>
    <t>blk_brownie</t>
  </si>
  <si>
    <t>blk_capuccino</t>
  </si>
  <si>
    <t>espresso</t>
  </si>
  <si>
    <t>latte</t>
  </si>
  <si>
    <t>caramel_machiatto</t>
  </si>
  <si>
    <t>Bubble tea</t>
  </si>
  <si>
    <t>Matcha tea</t>
  </si>
  <si>
    <t>Croissants</t>
  </si>
  <si>
    <t>blk_croissant</t>
  </si>
  <si>
    <t>blk_muffins</t>
  </si>
  <si>
    <t>blk_scone</t>
  </si>
  <si>
    <t>blk_toast</t>
  </si>
  <si>
    <t>blk_bubble_tea</t>
  </si>
  <si>
    <t>blk_chai_latte</t>
  </si>
  <si>
    <t>blk_earl_grey</t>
  </si>
  <si>
    <t>blk_green_tea</t>
  </si>
  <si>
    <t>blk_matcha_tea</t>
  </si>
  <si>
    <t>UnitPrice</t>
  </si>
  <si>
    <t>C06</t>
  </si>
  <si>
    <t>Machiato</t>
  </si>
  <si>
    <t>blk_machiatto</t>
  </si>
  <si>
    <t>Date</t>
  </si>
  <si>
    <t>Product ID</t>
  </si>
  <si>
    <t>Qty</t>
  </si>
  <si>
    <t>Subtotal</t>
  </si>
  <si>
    <t>The Passenger Coffee Shop</t>
  </si>
  <si>
    <t>Item</t>
  </si>
  <si>
    <t>Price</t>
  </si>
  <si>
    <t>Order Nª:</t>
  </si>
  <si>
    <t xml:space="preserve">Order </t>
  </si>
  <si>
    <t>INDEX</t>
  </si>
  <si>
    <t>The Passenger Coffee</t>
  </si>
  <si>
    <t xml:space="preserve">                                                                   The Passenger Coffee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</si>
</sst>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6" x14ac:knownFonts="1">
    <font>
      <sz val="11"/>
      <color theme="1"/>
      <name val="Aptos Narrow"/>
      <family val="2"/>
      <scheme val="minor"/>
    </font>
    <font>
      <b/>
      <sz val="13"/>
      <color rgb="FFC8973A"/>
      <name val="Arial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mediumDashed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Dashed">
        <color indexed="64"/>
      </bottom>
      <diagonal/>
    </border>
    <border>
      <left/>
      <right/>
      <top style="slantDashDot">
        <color indexed="64"/>
      </top>
      <bottom style="mediumDashed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Dashed">
        <color indexed="64"/>
      </bottom>
      <diagonal/>
    </border>
    <border>
      <left/>
      <right style="slantDashDot">
        <color indexed="64"/>
      </right>
      <top/>
      <bottom style="mediumDashed">
        <color indexed="64"/>
      </bottom>
      <diagonal/>
    </border>
    <border>
      <left/>
      <right style="slantDashDot">
        <color indexed="64"/>
      </right>
      <top style="mediumDashed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/>
    <xf numFmtId="164" fontId="4" fillId="0" borderId="0" xfId="0" applyNumberFormat="1" applyFon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3" fillId="0" borderId="3" xfId="0" applyFont="1" applyBorder="1"/>
    <xf numFmtId="0" fontId="3" fillId="0" borderId="5" xfId="0" applyFont="1" applyBorder="1"/>
    <xf numFmtId="0" fontId="3" fillId="0" borderId="0" xfId="0" applyFont="1" applyBorder="1"/>
    <xf numFmtId="0" fontId="3" fillId="0" borderId="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6" xfId="0" applyBorder="1" applyAlignment="1"/>
    <xf numFmtId="0" fontId="0" fillId="0" borderId="7" xfId="0" applyBorder="1"/>
    <xf numFmtId="0" fontId="0" fillId="0" borderId="8" xfId="0" applyBorder="1"/>
    <xf numFmtId="0" fontId="3" fillId="0" borderId="4" xfId="0" applyFont="1" applyBorder="1"/>
    <xf numFmtId="0" fontId="0" fillId="0" borderId="4" xfId="0" applyBorder="1" applyAlignment="1">
      <alignment horizontal="right"/>
    </xf>
    <xf numFmtId="0" fontId="1" fillId="2" borderId="0" xfId="0" applyFont="1" applyFill="1" applyAlignment="1">
      <alignment vertic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right" vertical="center"/>
    </xf>
    <xf numFmtId="0" fontId="5" fillId="2" borderId="0" xfId="0" applyFont="1" applyFill="1" applyAlignment="1">
      <alignment horizontal="center" vertical="top"/>
    </xf>
    <xf numFmtId="0" fontId="5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9">
    <dxf>
      <numFmt numFmtId="2" formatCode="0.00"/>
      <alignment horizontal="right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73319-4E7A-4EDB-8212-2F00093F0938}" name="tblProductq" displayName="tblProductq" ref="A2:E18" totalsRowShown="0">
  <autoFilter ref="A2:E18" xr:uid="{82573319-4E7A-4EDB-8212-2F00093F0938}"/>
  <tableColumns count="5">
    <tableColumn id="1" xr3:uid="{60CD2A17-A2CB-46EC-B5D9-91F26C0B68D3}" name="ID" dataDxfId="8"/>
    <tableColumn id="2" xr3:uid="{0EFE6E3A-4FBB-4C44-A8CA-05221A130305}" name="Category" dataDxfId="7"/>
    <tableColumn id="3" xr3:uid="{81D47DED-F3C8-4848-9DD3-13DAA41759BE}" name="Product" dataDxfId="6"/>
    <tableColumn id="5" xr3:uid="{405832AE-375E-44DA-9C8C-978557EC3FA5}" name="UnitPrice" dataDxfId="5"/>
    <tableColumn id="4" xr3:uid="{32E44313-530A-42A9-A2E0-8B6C392F2295}" name="Image " dataDxfId="4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867C45-6C13-4F4A-A910-781E8D7C0DF7}" name="Table2" displayName="Table2" ref="K1:K2" totalsRowShown="0">
  <autoFilter ref="K1:K2" xr:uid="{C7867C45-6C13-4F4A-A910-781E8D7C0DF7}"/>
  <tableColumns count="1">
    <tableColumn id="1" xr3:uid="{E61AD161-E113-4873-8E29-419FBD5E1D78}" name="INDE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C82AF2-F66B-4E87-80D5-8CCEF8517765}" name="Table4" displayName="Table4" ref="A2:H22" totalsRowShown="0">
  <autoFilter ref="A2:H22" xr:uid="{51C82AF2-F66B-4E87-80D5-8CCEF8517765}"/>
  <tableColumns count="8">
    <tableColumn id="1" xr3:uid="{1AD83BF8-DB2A-4BB6-8CC8-C53473997E31}" name="Order "/>
    <tableColumn id="2" xr3:uid="{4CADF6DF-6DE4-47BC-AA98-5788AB093B8D}" name="Date"/>
    <tableColumn id="3" xr3:uid="{E4D62F30-1A65-4866-AC93-E0E9906981C7}" name="Product ID">
      <calculatedColumnFormula>IFERROR(INDEX(tblProductq[ID],MATCH(Sales!E3,tblProductq[Product],0)),"-")</calculatedColumnFormula>
    </tableColumn>
    <tableColumn id="4" xr3:uid="{86162FA8-2981-4E7B-8E8A-58FC135FA81E}" name="Category">
      <calculatedColumnFormula>IFERROR(INDEX(tblProductq[Category],MATCH(Sales!E3,tblProductq[Product],0)),"-")</calculatedColumnFormula>
    </tableColumn>
    <tableColumn id="5" xr3:uid="{87DBE0BF-107F-47D0-989C-207C0D6EC3B4}" name="Product" dataDxfId="3"/>
    <tableColumn id="6" xr3:uid="{7D20A61A-A4B0-414A-ADA4-05E931A1D164}" name="Qty" dataDxfId="2"/>
    <tableColumn id="7" xr3:uid="{8A27B0E3-071E-4087-95D4-E065EA6C587F}" name="Price" dataDxfId="1"/>
    <tableColumn id="8" xr3:uid="{3552D6C8-0542-4677-8594-02F6486AE159}" name="Subtotal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A68D1-1B3D-4A70-86F0-7DC6917EAE87}">
  <sheetPr codeName="Sheet1">
    <pageSetUpPr autoPageBreaks="0"/>
  </sheetPr>
  <dimension ref="A1:K18"/>
  <sheetViews>
    <sheetView zoomScaleNormal="100" workbookViewId="0">
      <selection activeCell="D23" sqref="D23"/>
    </sheetView>
  </sheetViews>
  <sheetFormatPr defaultRowHeight="15" x14ac:dyDescent="0.25"/>
  <cols>
    <col min="1" max="1" width="19" customWidth="1"/>
    <col min="2" max="2" width="23.42578125" customWidth="1"/>
    <col min="3" max="3" width="25" customWidth="1"/>
    <col min="4" max="4" width="16.140625" customWidth="1"/>
    <col min="5" max="5" width="44.7109375" customWidth="1"/>
    <col min="6" max="6" width="23.42578125" bestFit="1" customWidth="1"/>
  </cols>
  <sheetData>
    <row r="1" spans="1:11" ht="21" x14ac:dyDescent="0.25">
      <c r="A1" s="24" t="s">
        <v>67</v>
      </c>
      <c r="B1" s="24"/>
      <c r="C1" s="24"/>
      <c r="D1" s="24"/>
      <c r="E1" s="21"/>
      <c r="F1" s="2"/>
      <c r="G1" s="2"/>
      <c r="H1" s="2"/>
      <c r="I1" s="2"/>
      <c r="J1" s="2"/>
      <c r="K1" t="s">
        <v>65</v>
      </c>
    </row>
    <row r="2" spans="1:11" x14ac:dyDescent="0.25">
      <c r="A2" s="4" t="s">
        <v>0</v>
      </c>
      <c r="B2" s="4" t="s">
        <v>1</v>
      </c>
      <c r="C2" s="4" t="s">
        <v>2</v>
      </c>
      <c r="D2" s="4" t="s">
        <v>52</v>
      </c>
      <c r="E2" s="4" t="s">
        <v>33</v>
      </c>
    </row>
    <row r="3" spans="1:11" x14ac:dyDescent="0.25">
      <c r="A3" s="4" t="s">
        <v>3</v>
      </c>
      <c r="B3" s="4" t="s">
        <v>4</v>
      </c>
      <c r="C3" s="4" t="s">
        <v>5</v>
      </c>
      <c r="D3" s="4">
        <v>2.8</v>
      </c>
      <c r="E3" s="4" t="s">
        <v>37</v>
      </c>
    </row>
    <row r="4" spans="1:11" ht="18.75" customHeight="1" x14ac:dyDescent="0.5">
      <c r="A4" s="4" t="s">
        <v>6</v>
      </c>
      <c r="B4" s="4" t="s">
        <v>4</v>
      </c>
      <c r="C4" s="4" t="s">
        <v>7</v>
      </c>
      <c r="D4" s="4">
        <v>2.8</v>
      </c>
      <c r="E4" s="4" t="s">
        <v>34</v>
      </c>
      <c r="F4" s="5"/>
    </row>
    <row r="5" spans="1:11" ht="14.25" customHeight="1" x14ac:dyDescent="0.25">
      <c r="A5" s="4" t="s">
        <v>8</v>
      </c>
      <c r="B5" s="4" t="s">
        <v>4</v>
      </c>
      <c r="C5" s="4" t="s">
        <v>9</v>
      </c>
      <c r="D5" s="4">
        <v>3</v>
      </c>
      <c r="E5" s="4" t="s">
        <v>36</v>
      </c>
    </row>
    <row r="6" spans="1:11" x14ac:dyDescent="0.25">
      <c r="A6" s="4" t="s">
        <v>10</v>
      </c>
      <c r="B6" s="4" t="s">
        <v>4</v>
      </c>
      <c r="C6" s="4" t="s">
        <v>11</v>
      </c>
      <c r="D6" s="4">
        <v>3.2</v>
      </c>
      <c r="E6" s="4" t="s">
        <v>38</v>
      </c>
    </row>
    <row r="7" spans="1:11" s="1" customFormat="1" x14ac:dyDescent="0.25">
      <c r="A7" s="4" t="s">
        <v>12</v>
      </c>
      <c r="B7" s="4" t="s">
        <v>4</v>
      </c>
      <c r="C7" s="4" t="s">
        <v>54</v>
      </c>
      <c r="D7" s="4">
        <v>3.75</v>
      </c>
      <c r="E7" s="4" t="s">
        <v>55</v>
      </c>
    </row>
    <row r="8" spans="1:11" x14ac:dyDescent="0.25">
      <c r="A8" s="4" t="s">
        <v>53</v>
      </c>
      <c r="B8" s="4" t="s">
        <v>4</v>
      </c>
      <c r="C8" s="4" t="s">
        <v>13</v>
      </c>
      <c r="D8" s="4">
        <v>3.5</v>
      </c>
      <c r="E8" s="4" t="s">
        <v>39</v>
      </c>
    </row>
    <row r="9" spans="1:11" x14ac:dyDescent="0.25">
      <c r="A9" s="4" t="s">
        <v>14</v>
      </c>
      <c r="B9" s="4" t="s">
        <v>15</v>
      </c>
      <c r="C9" s="4" t="s">
        <v>40</v>
      </c>
      <c r="D9" s="4">
        <v>2</v>
      </c>
      <c r="E9" s="4" t="s">
        <v>47</v>
      </c>
    </row>
    <row r="10" spans="1:11" x14ac:dyDescent="0.25">
      <c r="A10" s="4" t="s">
        <v>16</v>
      </c>
      <c r="B10" s="4" t="s">
        <v>15</v>
      </c>
      <c r="C10" s="4" t="s">
        <v>17</v>
      </c>
      <c r="D10" s="4">
        <v>2</v>
      </c>
      <c r="E10" s="4" t="s">
        <v>49</v>
      </c>
    </row>
    <row r="11" spans="1:11" x14ac:dyDescent="0.25">
      <c r="A11" s="4" t="s">
        <v>18</v>
      </c>
      <c r="B11" s="4" t="s">
        <v>15</v>
      </c>
      <c r="C11" s="4" t="s">
        <v>19</v>
      </c>
      <c r="D11" s="4">
        <v>2.2000000000000002</v>
      </c>
      <c r="E11" s="4" t="s">
        <v>50</v>
      </c>
    </row>
    <row r="12" spans="1:11" x14ac:dyDescent="0.25">
      <c r="A12" s="4" t="s">
        <v>20</v>
      </c>
      <c r="B12" s="4" t="s">
        <v>15</v>
      </c>
      <c r="C12" s="4" t="s">
        <v>21</v>
      </c>
      <c r="D12" s="4">
        <v>2.8</v>
      </c>
      <c r="E12" s="4" t="s">
        <v>48</v>
      </c>
    </row>
    <row r="13" spans="1:11" x14ac:dyDescent="0.25">
      <c r="A13" s="4" t="s">
        <v>22</v>
      </c>
      <c r="B13" s="4" t="s">
        <v>15</v>
      </c>
      <c r="C13" s="4" t="s">
        <v>41</v>
      </c>
      <c r="D13" s="4">
        <v>1.8</v>
      </c>
      <c r="E13" s="4" t="s">
        <v>51</v>
      </c>
    </row>
    <row r="14" spans="1:11" x14ac:dyDescent="0.25">
      <c r="A14" s="4" t="s">
        <v>23</v>
      </c>
      <c r="B14" s="4" t="s">
        <v>24</v>
      </c>
      <c r="C14" s="4" t="s">
        <v>42</v>
      </c>
      <c r="D14" s="4">
        <v>3.5</v>
      </c>
      <c r="E14" s="4" t="s">
        <v>43</v>
      </c>
    </row>
    <row r="15" spans="1:11" x14ac:dyDescent="0.25">
      <c r="A15" s="4" t="s">
        <v>25</v>
      </c>
      <c r="B15" s="4" t="s">
        <v>24</v>
      </c>
      <c r="C15" s="4" t="s">
        <v>26</v>
      </c>
      <c r="D15" s="4">
        <v>2.8</v>
      </c>
      <c r="E15" s="4" t="s">
        <v>44</v>
      </c>
    </row>
    <row r="16" spans="1:11" x14ac:dyDescent="0.25">
      <c r="A16" s="4" t="s">
        <v>27</v>
      </c>
      <c r="B16" s="4" t="s">
        <v>24</v>
      </c>
      <c r="C16" s="4" t="s">
        <v>28</v>
      </c>
      <c r="D16" s="4">
        <v>4.5</v>
      </c>
      <c r="E16" s="4" t="s">
        <v>46</v>
      </c>
    </row>
    <row r="17" spans="1:5" x14ac:dyDescent="0.25">
      <c r="A17" s="4" t="s">
        <v>29</v>
      </c>
      <c r="B17" s="4" t="s">
        <v>24</v>
      </c>
      <c r="C17" s="4" t="s">
        <v>30</v>
      </c>
      <c r="D17" s="4">
        <v>2.5</v>
      </c>
      <c r="E17" s="4" t="s">
        <v>45</v>
      </c>
    </row>
    <row r="18" spans="1:5" x14ac:dyDescent="0.25">
      <c r="A18" s="4" t="s">
        <v>31</v>
      </c>
      <c r="B18" s="4" t="s">
        <v>24</v>
      </c>
      <c r="C18" s="4" t="s">
        <v>32</v>
      </c>
      <c r="D18" s="4">
        <v>3</v>
      </c>
      <c r="E18" s="4" t="s">
        <v>35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441CA-A9EE-4ECB-A220-122A934BF5EA}">
  <sheetPr codeName="Sheet2"/>
  <dimension ref="A1:K22"/>
  <sheetViews>
    <sheetView tabSelected="1" workbookViewId="0">
      <selection activeCell="N10" sqref="N10"/>
    </sheetView>
  </sheetViews>
  <sheetFormatPr defaultRowHeight="15" x14ac:dyDescent="0.25"/>
  <cols>
    <col min="1" max="1" width="9.140625" style="7"/>
    <col min="2" max="2" width="21.85546875" style="7" customWidth="1"/>
    <col min="3" max="3" width="13.28515625" style="7" customWidth="1"/>
    <col min="4" max="4" width="15.140625" style="7" customWidth="1"/>
    <col min="5" max="5" width="13.85546875" style="7" customWidth="1"/>
    <col min="6" max="6" width="13.28515625" style="6" customWidth="1"/>
    <col min="7" max="7" width="14.28515625" style="6" customWidth="1"/>
    <col min="8" max="8" width="14.140625" style="23" customWidth="1"/>
  </cols>
  <sheetData>
    <row r="1" spans="1:11" ht="20.25" customHeight="1" x14ac:dyDescent="0.35">
      <c r="A1" s="25" t="s">
        <v>66</v>
      </c>
      <c r="B1" s="25"/>
      <c r="C1" s="25"/>
      <c r="D1" s="25"/>
      <c r="E1" s="25"/>
      <c r="F1" s="25"/>
      <c r="G1" s="25"/>
      <c r="H1" s="25"/>
      <c r="K1" s="3"/>
    </row>
    <row r="2" spans="1:11" ht="22.5" customHeight="1" x14ac:dyDescent="0.25">
      <c r="A2" s="3" t="s">
        <v>64</v>
      </c>
      <c r="B2" s="3" t="s">
        <v>56</v>
      </c>
      <c r="C2" s="3" t="s">
        <v>57</v>
      </c>
      <c r="D2" s="3" t="s">
        <v>1</v>
      </c>
      <c r="E2" s="3" t="s">
        <v>2</v>
      </c>
      <c r="F2" s="3" t="s">
        <v>58</v>
      </c>
      <c r="G2" s="3" t="s">
        <v>62</v>
      </c>
      <c r="H2" s="23" t="s">
        <v>59</v>
      </c>
      <c r="K2" s="3"/>
    </row>
    <row r="3" spans="1:11" x14ac:dyDescent="0.25">
      <c r="C3" s="7" t="str">
        <f>IFERROR(INDEX(tblProductq[ID],MATCH(Sales!E3,tblProductq[Product],0)),"-")</f>
        <v>-</v>
      </c>
      <c r="D3" s="7" t="str">
        <f>IFERROR(INDEX(tblProductq[Category],MATCH(Sales!E3,tblProductq[Product],0)),"-")</f>
        <v>-</v>
      </c>
      <c r="E3" s="2"/>
    </row>
    <row r="4" spans="1:11" x14ac:dyDescent="0.25">
      <c r="C4" s="7" t="str">
        <f>IFERROR(INDEX(tblProductq[ID],MATCH(Sales!E4,tblProductq[Product],0)),"-")</f>
        <v>-</v>
      </c>
      <c r="D4" s="7" t="str">
        <f>IFERROR(INDEX(tblProductq[Category],MATCH(Sales!E4,tblProductq[Product],0)),"-")</f>
        <v>-</v>
      </c>
      <c r="E4" s="2"/>
    </row>
    <row r="5" spans="1:11" x14ac:dyDescent="0.25">
      <c r="C5" s="7" t="str">
        <f>IFERROR(INDEX(tblProductq[ID],MATCH(Sales!E5,tblProductq[Product],0)),"-")</f>
        <v>-</v>
      </c>
      <c r="D5" s="7" t="str">
        <f>IFERROR(INDEX(tblProductq[Category],MATCH(Sales!E5,tblProductq[Product],0)),"-")</f>
        <v>-</v>
      </c>
      <c r="E5" s="2"/>
    </row>
    <row r="6" spans="1:11" x14ac:dyDescent="0.25">
      <c r="C6" s="7" t="str">
        <f>IFERROR(INDEX(tblProductq[ID],MATCH(Sales!E6,tblProductq[Product],0)),"-")</f>
        <v>-</v>
      </c>
      <c r="D6" s="7" t="str">
        <f>IFERROR(INDEX(tblProductq[Category],MATCH(Sales!E6,tblProductq[Product],0)),"-")</f>
        <v>-</v>
      </c>
      <c r="E6" s="2"/>
    </row>
    <row r="7" spans="1:11" x14ac:dyDescent="0.25">
      <c r="C7" s="7" t="str">
        <f>IFERROR(INDEX(tblProductq[ID],MATCH(Sales!E7,tblProductq[Product],0)),"-")</f>
        <v>-</v>
      </c>
      <c r="D7" s="7" t="str">
        <f>IFERROR(INDEX(tblProductq[Category],MATCH(Sales!E7,tblProductq[Product],0)),"-")</f>
        <v>-</v>
      </c>
      <c r="E7" s="2"/>
    </row>
    <row r="8" spans="1:11" x14ac:dyDescent="0.25">
      <c r="C8" s="7" t="str">
        <f>IFERROR(INDEX(tblProductq[ID],MATCH(Sales!E8,tblProductq[Product],0)),"-")</f>
        <v>-</v>
      </c>
      <c r="D8" s="7" t="str">
        <f>IFERROR(INDEX(tblProductq[Category],MATCH(Sales!E8,tblProductq[Product],0)),"-")</f>
        <v>-</v>
      </c>
      <c r="E8" s="2"/>
    </row>
    <row r="9" spans="1:11" x14ac:dyDescent="0.25">
      <c r="C9" s="7" t="str">
        <f>IFERROR(INDEX(tblProductq[ID],MATCH(Sales!E9,tblProductq[Product],0)),"-")</f>
        <v>-</v>
      </c>
      <c r="D9" s="7" t="str">
        <f>IFERROR(INDEX(tblProductq[Category],MATCH(Sales!E9,tblProductq[Product],0)),"-")</f>
        <v>-</v>
      </c>
      <c r="E9" s="2"/>
    </row>
    <row r="10" spans="1:11" x14ac:dyDescent="0.25">
      <c r="C10" s="7" t="str">
        <f>IFERROR(INDEX(tblProductq[ID],MATCH(Sales!E10,tblProductq[Product],0)),"-")</f>
        <v>-</v>
      </c>
      <c r="D10" s="7" t="str">
        <f>IFERROR(INDEX(tblProductq[Category],MATCH(Sales!E10,tblProductq[Product],0)),"-")</f>
        <v>-</v>
      </c>
      <c r="E10" s="22"/>
    </row>
    <row r="11" spans="1:11" x14ac:dyDescent="0.25">
      <c r="C11" s="7" t="str">
        <f>IFERROR(INDEX(tblProductq[ID],MATCH(Sales!E11,tblProductq[Product],0)),"-")</f>
        <v>-</v>
      </c>
      <c r="D11" s="7" t="str">
        <f>IFERROR(INDEX(tblProductq[Category],MATCH(Sales!E11,tblProductq[Product],0)),"-")</f>
        <v>-</v>
      </c>
      <c r="E11" s="2"/>
    </row>
    <row r="12" spans="1:11" x14ac:dyDescent="0.25">
      <c r="C12" s="7" t="str">
        <f>IFERROR(INDEX(tblProductq[ID],MATCH(Sales!E12,tblProductq[Product],0)),"-")</f>
        <v>-</v>
      </c>
      <c r="D12" s="7" t="str">
        <f>IFERROR(INDEX(tblProductq[Category],MATCH(Sales!E12,tblProductq[Product],0)),"-")</f>
        <v>-</v>
      </c>
      <c r="E12" s="2"/>
    </row>
    <row r="13" spans="1:11" x14ac:dyDescent="0.25">
      <c r="C13" s="7" t="str">
        <f>IFERROR(INDEX(tblProductq[ID],MATCH(Sales!E13,tblProductq[Product],0)),"-")</f>
        <v>-</v>
      </c>
      <c r="D13" s="7" t="str">
        <f>IFERROR(INDEX(tblProductq[Category],MATCH(Sales!E13,tblProductq[Product],0)),"-")</f>
        <v>-</v>
      </c>
      <c r="E13" s="2"/>
    </row>
    <row r="14" spans="1:11" x14ac:dyDescent="0.25">
      <c r="C14" s="7" t="str">
        <f>IFERROR(INDEX(tblProductq[ID],MATCH(Sales!E14,tblProductq[Product],0)),"-")</f>
        <v>-</v>
      </c>
      <c r="D14" s="7" t="str">
        <f>IFERROR(INDEX(tblProductq[Category],MATCH(Sales!E14,tblProductq[Product],0)),"-")</f>
        <v>-</v>
      </c>
      <c r="E14" s="2"/>
    </row>
    <row r="15" spans="1:11" x14ac:dyDescent="0.25">
      <c r="C15" s="7" t="str">
        <f>IFERROR(INDEX(tblProductq[ID],MATCH(Sales!E15,tblProductq[Product],0)),"-")</f>
        <v>-</v>
      </c>
      <c r="D15" s="7" t="str">
        <f>IFERROR(INDEX(tblProductq[Category],MATCH(Sales!E15,tblProductq[Product],0)),"-")</f>
        <v>-</v>
      </c>
      <c r="E15" s="2"/>
    </row>
    <row r="16" spans="1:11" x14ac:dyDescent="0.25">
      <c r="C16" s="7" t="str">
        <f>IFERROR(INDEX(tblProductq[ID],MATCH(Sales!E16,tblProductq[Product],0)),"-")</f>
        <v>-</v>
      </c>
      <c r="D16" s="7" t="str">
        <f>IFERROR(INDEX(tblProductq[Category],MATCH(Sales!E16,tblProductq[Product],0)),"-")</f>
        <v>-</v>
      </c>
      <c r="E16" s="2"/>
    </row>
    <row r="17" spans="3:5" x14ac:dyDescent="0.25">
      <c r="C17" s="7" t="str">
        <f>IFERROR(INDEX(tblProductq[ID],MATCH(Sales!E17,tblProductq[Product],0)),"-")</f>
        <v>-</v>
      </c>
      <c r="D17" s="7" t="str">
        <f>IFERROR(INDEX(tblProductq[Category],MATCH(Sales!E17,tblProductq[Product],0)),"-")</f>
        <v>-</v>
      </c>
      <c r="E17" s="2"/>
    </row>
    <row r="18" spans="3:5" x14ac:dyDescent="0.25">
      <c r="C18" s="7" t="str">
        <f>IFERROR(INDEX(tblProductq[ID],MATCH(Sales!E18,tblProductq[Product],0)),"-")</f>
        <v>-</v>
      </c>
      <c r="D18" s="7" t="str">
        <f>IFERROR(INDEX(tblProductq[Category],MATCH(Sales!E18,tblProductq[Product],0)),"-")</f>
        <v>-</v>
      </c>
      <c r="E18" s="2"/>
    </row>
    <row r="19" spans="3:5" x14ac:dyDescent="0.25">
      <c r="C19" s="7" t="str">
        <f>IFERROR(INDEX(tblProductq[ID],MATCH(Sales!E19,tblProductq[Product],0)),"-")</f>
        <v>-</v>
      </c>
      <c r="D19" s="7" t="str">
        <f>IFERROR(INDEX(tblProductq[Category],MATCH(Sales!E19,tblProductq[Product],0)),"-")</f>
        <v>-</v>
      </c>
      <c r="E19" s="2"/>
    </row>
    <row r="20" spans="3:5" x14ac:dyDescent="0.25">
      <c r="C20" s="7" t="str">
        <f>IFERROR(INDEX(tblProductq[ID],MATCH(Sales!E20,tblProductq[Product],0)),"-")</f>
        <v>-</v>
      </c>
      <c r="D20" s="7" t="str">
        <f>IFERROR(INDEX(tblProductq[Category],MATCH(Sales!E20,tblProductq[Product],0)),"-")</f>
        <v>-</v>
      </c>
      <c r="E20" s="2"/>
    </row>
    <row r="21" spans="3:5" x14ac:dyDescent="0.25">
      <c r="C21" s="7" t="str">
        <f>IFERROR(INDEX(tblProductq[ID],MATCH(Sales!E21,tblProductq[Product],0)),"-")</f>
        <v>-</v>
      </c>
      <c r="D21" s="7" t="str">
        <f>IFERROR(INDEX(tblProductq[Category],MATCH(Sales!E21,tblProductq[Product],0)),"-")</f>
        <v>-</v>
      </c>
      <c r="E21" s="2"/>
    </row>
    <row r="22" spans="3:5" x14ac:dyDescent="0.25">
      <c r="C22" s="7" t="str">
        <f>IFERROR(INDEX(tblProductq[ID],MATCH(Sales!E22,tblProductq[Product],0)),"-")</f>
        <v>-</v>
      </c>
      <c r="D22" s="7" t="str">
        <f>IFERROR(INDEX(tblProductq[Category],MATCH(Sales!E22,tblProductq[Product],0)),"-")</f>
        <v>-</v>
      </c>
      <c r="E22" s="2"/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58F1C-69D1-4912-BF88-A1AD88B7BC3C}">
  <sheetPr codeName="Sheet3"/>
  <dimension ref="B1:T19"/>
  <sheetViews>
    <sheetView showGridLines="0" zoomScaleNormal="100" workbookViewId="0">
      <selection activeCell="D15" sqref="D15"/>
    </sheetView>
  </sheetViews>
  <sheetFormatPr defaultRowHeight="15" x14ac:dyDescent="0.25"/>
  <cols>
    <col min="8" max="8" width="10.7109375" style="7" customWidth="1"/>
  </cols>
  <sheetData>
    <row r="1" spans="2:20" ht="22.5" customHeight="1" x14ac:dyDescent="0.25">
      <c r="F1" s="3"/>
      <c r="G1" s="3"/>
      <c r="H1" s="3"/>
      <c r="I1" s="3"/>
    </row>
    <row r="2" spans="2:20" ht="13.5" customHeight="1" thickBot="1" x14ac:dyDescent="0.3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2:20" ht="5.25" customHeight="1" thickBot="1" x14ac:dyDescent="0.3">
      <c r="B3" s="3"/>
      <c r="F3" s="16"/>
      <c r="G3" s="17"/>
      <c r="H3" s="18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2:20" x14ac:dyDescent="0.25">
      <c r="F4" s="28" t="s">
        <v>60</v>
      </c>
      <c r="G4" s="29"/>
      <c r="H4" s="30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2:20" ht="15.75" thickBot="1" x14ac:dyDescent="0.3">
      <c r="F5" s="31"/>
      <c r="G5" s="32"/>
      <c r="H5" s="3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2:20" x14ac:dyDescent="0.25">
      <c r="F6" s="11" t="s">
        <v>56</v>
      </c>
      <c r="G6" s="34"/>
      <c r="H6" s="35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2:20" ht="15.75" thickBot="1" x14ac:dyDescent="0.3">
      <c r="F7" s="12" t="s">
        <v>63</v>
      </c>
      <c r="G7" s="26"/>
      <c r="H7" s="27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2:20" x14ac:dyDescent="0.25">
      <c r="F8" s="11" t="s">
        <v>61</v>
      </c>
      <c r="G8" s="13" t="s">
        <v>58</v>
      </c>
      <c r="H8" s="19" t="s">
        <v>62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2:20" x14ac:dyDescent="0.25">
      <c r="F9" s="11"/>
      <c r="G9" s="9"/>
      <c r="H9" s="20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2:20" x14ac:dyDescent="0.25">
      <c r="F10" s="11"/>
      <c r="G10" s="9"/>
      <c r="H10" s="20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0" x14ac:dyDescent="0.25">
      <c r="F11" s="11"/>
      <c r="G11" s="15"/>
      <c r="H11" s="20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2:20" x14ac:dyDescent="0.25">
      <c r="F12" s="11"/>
      <c r="G12" s="15"/>
      <c r="H12" s="10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2:20" x14ac:dyDescent="0.25">
      <c r="F13" s="14"/>
      <c r="G13" s="15"/>
      <c r="H13" s="20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2:20" x14ac:dyDescent="0.25">
      <c r="F14" s="8"/>
      <c r="G14" s="15"/>
      <c r="H14" s="2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2:20" x14ac:dyDescent="0.25"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2:20" x14ac:dyDescent="0.25"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9:20" x14ac:dyDescent="0.25"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9:20" x14ac:dyDescent="0.25"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9:20" x14ac:dyDescent="0.25"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</sheetData>
  <mergeCells count="3">
    <mergeCell ref="G7:H7"/>
    <mergeCell ref="F4:H5"/>
    <mergeCell ref="G6:H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Product</vt:lpstr>
      <vt:lpstr>Sales</vt:lpstr>
      <vt:lpstr>Ticket</vt:lpstr>
      <vt:lpstr>Ticket!Print_Area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Mariano Ferrer</dc:creator>
  <cp:lastModifiedBy>Mariano Ferrer</cp:lastModifiedBy>
  <cp:lastPrinted>2026-04-27T20:58:30Z</cp:lastPrinted>
  <dcterms:created xsi:type="dcterms:W3CDTF">2026-04-18T05:38:51Z</dcterms:created>
  <dcterms:modified xsi:type="dcterms:W3CDTF">2026-05-02T00:18:26Z</dcterms:modified>
</cp:coreProperties>
</file>